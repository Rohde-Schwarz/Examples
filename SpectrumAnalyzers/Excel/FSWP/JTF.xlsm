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simon_mi\Documents\Dokumente\Jitter\JTF\"/>
    </mc:Choice>
  </mc:AlternateContent>
  <bookViews>
    <workbookView xWindow="0" yWindow="0" windowWidth="19575" windowHeight="9480"/>
  </bookViews>
  <sheets>
    <sheet name="Tabelle1" sheetId="1" r:id="rId1"/>
    <sheet name="Results" sheetId="2" r:id="rId2"/>
    <sheet name="Data" sheetId="3" r:id="rId3"/>
    <sheet name="Help" sheetId="4" r:id="rId4"/>
  </sheets>
  <functionGroups builtInGroupCount="18"/>
  <calcPr calcId="162913"/>
  <customWorkbookViews>
    <customWorkbookView name="test" guid="{878AD307-EED9-4A13-BE3E-F8EDBAE21A4D}" xWindow="130" yWindow="42" windowWidth="1379" windowHeight="1033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3" l="1"/>
  <c r="C8" i="3" l="1"/>
  <c r="C7" i="3"/>
  <c r="C6" i="3"/>
  <c r="C5" i="3"/>
  <c r="C4" i="3"/>
</calcChain>
</file>

<file path=xl/sharedStrings.xml><?xml version="1.0" encoding="utf-8"?>
<sst xmlns="http://schemas.openxmlformats.org/spreadsheetml/2006/main" count="91" uniqueCount="68">
  <si>
    <t>Clock Frequency</t>
  </si>
  <si>
    <t>Start Offset</t>
  </si>
  <si>
    <t>Stop Offset</t>
  </si>
  <si>
    <t>Points/Decade</t>
  </si>
  <si>
    <t>SMA100B</t>
  </si>
  <si>
    <t>FSWP</t>
  </si>
  <si>
    <t>Clock Level</t>
  </si>
  <si>
    <t>Instrument</t>
  </si>
  <si>
    <t>Firmware</t>
  </si>
  <si>
    <t>Frequency</t>
  </si>
  <si>
    <t>Jitter</t>
  </si>
  <si>
    <t>f start</t>
  </si>
  <si>
    <t>f stop</t>
  </si>
  <si>
    <t>Multiplier for Low Noise Mode</t>
  </si>
  <si>
    <t>Calibration</t>
  </si>
  <si>
    <t>Measurement</t>
  </si>
  <si>
    <t>IP Address</t>
  </si>
  <si>
    <t>Meas Corrected</t>
  </si>
  <si>
    <t>Measurement Configuration</t>
  </si>
  <si>
    <t>Hz</t>
  </si>
  <si>
    <t>dBm</t>
  </si>
  <si>
    <t>sec</t>
  </si>
  <si>
    <t>dB</t>
  </si>
  <si>
    <t>Instrument Connection</t>
  </si>
  <si>
    <t>Instrument Messages</t>
  </si>
  <si>
    <t>Multiplier for High Bandwidth Mode</t>
  </si>
  <si>
    <t>Parameter</t>
  </si>
  <si>
    <t>Description</t>
  </si>
  <si>
    <t>IP adresses of SMA100B and FSWP</t>
  </si>
  <si>
    <t>Frequency of the clock signal generated by the SMA100A that is fed into the DUT</t>
  </si>
  <si>
    <t>Power Level of Clock Signal fed into the DUT, account for cable loss between SMA100B and DUT if necessary</t>
  </si>
  <si>
    <t>Start frequency of Jitter Transfer measurement, starting frequency of FM modulated CW</t>
  </si>
  <si>
    <t>Stop frequency of Jitter Transfer measurement, stop frequency of FM modulated CW</t>
  </si>
  <si>
    <t>Points / Decade</t>
  </si>
  <si>
    <t>Number of measurement points per decade. For higher resolution of the Jitter Transfer Function increase this value. TO speed up the measurement, decrease it.</t>
  </si>
  <si>
    <t>Unit</t>
  </si>
  <si>
    <t>Amount of jitter added to the clock signal at current offset frequency. Jitter value is held constant for all offset frequencies.</t>
  </si>
  <si>
    <t>Messages about the instrument status, like connection issues and problems during remote control operation (SCPI errors)</t>
  </si>
  <si>
    <t>Button</t>
  </si>
  <si>
    <t>Calibrate</t>
  </si>
  <si>
    <t>Perform calibration measurement. Direct connection of SMA100B and FSWP</t>
  </si>
  <si>
    <t>Measure</t>
  </si>
  <si>
    <t>Jitter Transfer measurement. Connect DUT in between SMA100B and FSWP</t>
  </si>
  <si>
    <t>Abort</t>
  </si>
  <si>
    <t>Terminate running measurement</t>
  </si>
  <si>
    <t>Reset</t>
  </si>
  <si>
    <t>Clear all measurement results, the chart display and instrument messages</t>
  </si>
  <si>
    <t xml:space="preserve"> </t>
  </si>
  <si>
    <t>Displays the result of the calibration measurement. The calibration data is subtracted from the measurement data. If no calibration data is available, the measurement data remains uncorrected.</t>
  </si>
  <si>
    <t>Jitter Transfer values over frequency in dB. The values are the ratio of output jitter to input jitter converted to log scale.</t>
  </si>
  <si>
    <t>3dB Bandwidth</t>
  </si>
  <si>
    <t>Chart Element</t>
  </si>
  <si>
    <t>XCORR Factor</t>
  </si>
  <si>
    <t>Number of cross correlations. Higher frequency offsets use a multiple of the entered value. Small offsets use fixed value of 1</t>
  </si>
  <si>
    <t>Offset frequency at which DUT attenuates input jitter by 3dB</t>
  </si>
  <si>
    <t>Peaking</t>
  </si>
  <si>
    <t>Gain peaking value (must be &gt; 0dB)</t>
  </si>
  <si>
    <t>Prerequisites</t>
  </si>
  <si>
    <t>VISA Installation</t>
  </si>
  <si>
    <t>R&amp;S, Keysight or NI</t>
  </si>
  <si>
    <t>Comment</t>
  </si>
  <si>
    <t>Visual Basic for Applications</t>
  </si>
  <si>
    <t>Install with Microsoft Office</t>
  </si>
  <si>
    <t>Microsoft Excel</t>
  </si>
  <si>
    <t>MS Excel 2007 or newer</t>
  </si>
  <si>
    <t>10.114.1.2</t>
  </si>
  <si>
    <t/>
  </si>
  <si>
    <t>10.114.1.160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</si>
</sst>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E+00"/>
    <numFmt numFmtId="166" formatCode="0.000"/>
  </numFmts>
  <fonts count="9" x14ac:knownFonts="1">
    <font>
      <sz val="10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b/>
      <sz val="11"/>
      <name val="Arial"/>
      <family val="2"/>
    </font>
    <font>
      <b/>
      <sz val="12"/>
      <color rgb="FF00000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</font>
  </fonts>
  <fills count="7">
    <fill>
      <patternFill patternType="none"/>
    </fill>
    <fill>
      <patternFill patternType="gray125"/>
    </fill>
    <fill>
      <patternFill patternType="solid">
        <fgColor rgb="FF6F7781"/>
        <bgColor indexed="64"/>
      </patternFill>
    </fill>
    <fill>
      <patternFill patternType="solid">
        <fgColor rgb="FF444B4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444B4F"/>
      </bottom>
      <diagonal/>
    </border>
    <border>
      <left/>
      <right/>
      <top style="medium">
        <color rgb="FF444B4F"/>
      </top>
      <bottom style="medium">
        <color rgb="FF444B4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3" borderId="0" xfId="0" applyFill="1"/>
    <xf numFmtId="0" fontId="1" fillId="3" borderId="0" xfId="0" applyFont="1" applyFill="1" applyAlignment="1">
      <alignment vertical="center"/>
    </xf>
    <xf numFmtId="49" fontId="1" fillId="3" borderId="0" xfId="0" applyNumberFormat="1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 indent="1"/>
    </xf>
    <xf numFmtId="0" fontId="0" fillId="0" borderId="0" xfId="0" applyAlignment="1">
      <alignment wrapText="1"/>
    </xf>
    <xf numFmtId="0" fontId="0" fillId="3" borderId="0" xfId="0" applyFill="1" applyAlignment="1">
      <alignment horizontal="center" wrapText="1"/>
    </xf>
    <xf numFmtId="0" fontId="0" fillId="5" borderId="0" xfId="0" applyFill="1"/>
    <xf numFmtId="0" fontId="0" fillId="0" borderId="0" xfId="0" applyFill="1"/>
    <xf numFmtId="0" fontId="1" fillId="5" borderId="0" xfId="0" applyFont="1" applyFill="1" applyAlignment="1">
      <alignment vertical="center"/>
    </xf>
    <xf numFmtId="2" fontId="1" fillId="5" borderId="0" xfId="0" applyNumberFormat="1" applyFont="1" applyFill="1" applyAlignment="1">
      <alignment vertical="center"/>
    </xf>
    <xf numFmtId="166" fontId="1" fillId="5" borderId="0" xfId="0" applyNumberFormat="1" applyFont="1" applyFill="1" applyAlignment="1">
      <alignment vertical="center"/>
    </xf>
    <xf numFmtId="11" fontId="0" fillId="0" borderId="0" xfId="0" applyNumberFormat="1"/>
    <xf numFmtId="0" fontId="1" fillId="5" borderId="0" xfId="0" applyFont="1" applyFill="1" applyAlignment="1"/>
    <xf numFmtId="0" fontId="6" fillId="0" borderId="0" xfId="0" applyFont="1" applyFill="1"/>
    <xf numFmtId="0" fontId="3" fillId="4" borderId="1" xfId="0" applyFont="1" applyFill="1" applyBorder="1" applyAlignment="1" applyProtection="1">
      <alignment horizontal="right" vertical="center"/>
      <protection locked="0"/>
    </xf>
    <xf numFmtId="0" fontId="3" fillId="4" borderId="0" xfId="0" applyFont="1" applyFill="1" applyBorder="1" applyAlignment="1" applyProtection="1">
      <alignment horizontal="right" vertical="center"/>
      <protection locked="0"/>
    </xf>
    <xf numFmtId="11" fontId="3" fillId="4" borderId="1" xfId="0" applyNumberFormat="1" applyFont="1" applyFill="1" applyBorder="1" applyAlignment="1" applyProtection="1">
      <alignment vertical="center"/>
      <protection locked="0"/>
    </xf>
    <xf numFmtId="2" fontId="3" fillId="4" borderId="2" xfId="0" applyNumberFormat="1" applyFont="1" applyFill="1" applyBorder="1" applyAlignment="1" applyProtection="1">
      <alignment vertical="center"/>
      <protection locked="0"/>
    </xf>
    <xf numFmtId="11" fontId="3" fillId="4" borderId="2" xfId="0" applyNumberFormat="1" applyFont="1" applyFill="1" applyBorder="1" applyAlignment="1" applyProtection="1">
      <alignment vertical="center"/>
      <protection locked="0"/>
    </xf>
    <xf numFmtId="0" fontId="3" fillId="4" borderId="2" xfId="0" applyFont="1" applyFill="1" applyBorder="1" applyAlignment="1" applyProtection="1">
      <alignment vertical="center"/>
      <protection locked="0"/>
    </xf>
    <xf numFmtId="49" fontId="1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wrapText="1"/>
    </xf>
    <xf numFmtId="0" fontId="8" fillId="0" borderId="0" xfId="0" applyFont="1"/>
    <xf numFmtId="0" fontId="0" fillId="3" borderId="0" xfId="0" applyFill="1" applyAlignment="1">
      <alignment wrapText="1"/>
    </xf>
    <xf numFmtId="1" fontId="3" fillId="4" borderId="0" xfId="0" applyNumberFormat="1" applyFont="1" applyFill="1" applyBorder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</xf>
    <xf numFmtId="0" fontId="7" fillId="6" borderId="0" xfId="0" applyFont="1" applyFill="1"/>
    <xf numFmtId="0" fontId="1" fillId="5" borderId="3" xfId="0" applyFont="1" applyFill="1" applyBorder="1"/>
    <xf numFmtId="0" fontId="7" fillId="6" borderId="3" xfId="0" applyFont="1" applyFill="1" applyBorder="1"/>
    <xf numFmtId="0" fontId="7" fillId="4" borderId="3" xfId="0" applyFont="1" applyFill="1" applyBorder="1" applyAlignment="1">
      <alignment wrapText="1"/>
    </xf>
    <xf numFmtId="0" fontId="2" fillId="2" borderId="0" xfId="0" applyFont="1" applyFill="1" applyAlignment="1">
      <alignment horizontal="left" vertical="center" indent="1"/>
    </xf>
    <xf numFmtId="0" fontId="5" fillId="4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1" fillId="5" borderId="3" xfId="0" applyFont="1" applyFill="1" applyBorder="1" applyAlignment="1">
      <alignment horizontal="left"/>
    </xf>
    <xf numFmtId="0" fontId="7" fillId="6" borderId="3" xfId="0" applyFont="1" applyFill="1" applyBorder="1" applyAlignment="1">
      <alignment horizontal="left"/>
    </xf>
    <xf numFmtId="0" fontId="7" fillId="4" borderId="4" xfId="0" applyFont="1" applyFill="1" applyBorder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6" borderId="4" xfId="0" applyFont="1" applyFill="1" applyBorder="1" applyAlignment="1">
      <alignment horizontal="left"/>
    </xf>
    <xf numFmtId="0" fontId="7" fillId="6" borderId="5" xfId="0" applyFont="1" applyFill="1" applyBorder="1" applyAlignment="1">
      <alignment horizontal="left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</dxfs>
  <tableStyles count="0" defaultTableStyle="TableStyleMedium2" defaultPivotStyle="PivotStyleLight16"/>
  <colors>
    <mruColors>
      <color rgb="FF444B4F"/>
      <color rgb="FF00B9F2"/>
      <color rgb="FFF9B755"/>
      <color rgb="FFF6960F"/>
      <color rgb="FFAEB5BB"/>
      <color rgb="FF00AD70"/>
      <color rgb="FF6F77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e-DE" sz="1800"/>
              <a:t>Jitter Transfer Function </a:t>
            </a:r>
            <a:r>
              <a:rPr lang="de-DE" sz="1400"/>
              <a:t>v1.2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Calibration</c:v>
          </c:tx>
          <c:spPr>
            <a:ln w="9525" cap="rnd">
              <a:solidFill>
                <a:srgbClr val="FFFF2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1"/>
              </a:solidFill>
              <a:ln w="9525" cap="rnd">
                <a:solidFill>
                  <a:srgbClr val="FFFF2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Results!$A$2:$A$21</c:f>
              <c:numCache>
                <c:formatCode>General</c:formatCode>
                <c:ptCount val="20"/>
              </c:numCache>
            </c:numRef>
          </c:xVal>
          <c:yVal>
            <c:numRef>
              <c:f>Results!$B$2:$B$21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7E-42ED-9314-8AF0FC9BCE94}"/>
            </c:ext>
          </c:extLst>
        </c:ser>
        <c:ser>
          <c:idx val="1"/>
          <c:order val="1"/>
          <c:tx>
            <c:v>Measurement</c:v>
          </c:tx>
          <c:spPr>
            <a:ln w="9525" cap="rnd">
              <a:solidFill>
                <a:srgbClr val="297DFF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4"/>
            <c:spPr>
              <a:solidFill>
                <a:schemeClr val="accent1"/>
              </a:solidFill>
              <a:ln w="9525" cap="rnd">
                <a:solidFill>
                  <a:srgbClr val="297DFF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Results!$A$2:$A$21</c:f>
              <c:numCache>
                <c:formatCode>General</c:formatCode>
                <c:ptCount val="20"/>
              </c:numCache>
            </c:numRef>
          </c:xVal>
          <c:yVal>
            <c:numRef>
              <c:f>Results!$D$2:$D$21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7E-42ED-9314-8AF0FC9BC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386832"/>
        <c:axId val="454000568"/>
      </c:scatterChart>
      <c:valAx>
        <c:axId val="566386832"/>
        <c:scaling>
          <c:logBase val="10"/>
          <c:orientation val="minMax"/>
          <c:max val="100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bg1">
                  <a:alpha val="4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bg1">
                  <a:alpha val="30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/>
                  <a:t>Frequency</a:t>
                </a:r>
                <a:r>
                  <a:rPr lang="de-DE" sz="1000" baseline="0"/>
                  <a:t> Offset [Hz]</a:t>
                </a:r>
                <a:endParaRPr lang="de-DE" sz="10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E+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54000568"/>
        <c:crossesAt val="-1000"/>
        <c:crossBetween val="midCat"/>
      </c:valAx>
      <c:valAx>
        <c:axId val="454000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40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/>
                  <a:t>Magnitude [dB]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38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tx1"/>
    </a:solidFill>
    <a:ln>
      <a:noFill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1162050</xdr:colOff>
          <xdr:row>8</xdr:row>
          <xdr:rowOff>95250</xdr:rowOff>
        </xdr:from>
        <xdr:to>
          <xdr:col>4</xdr:col>
          <xdr:colOff>762000</xdr:colOff>
          <xdr:row>9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1162050</xdr:colOff>
          <xdr:row>10</xdr:row>
          <xdr:rowOff>9525</xdr:rowOff>
        </xdr:from>
        <xdr:to>
          <xdr:col>4</xdr:col>
          <xdr:colOff>762000</xdr:colOff>
          <xdr:row>11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Measure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</xdr:row>
      <xdr:rowOff>9237</xdr:rowOff>
    </xdr:from>
    <xdr:to>
      <xdr:col>16</xdr:col>
      <xdr:colOff>9525</xdr:colOff>
      <xdr:row>17</xdr:row>
      <xdr:rowOff>0</xdr:rowOff>
    </xdr:to>
    <xdr:graphicFrame macro="">
      <xdr:nvGraphicFramePr>
        <xdr:cNvPr id="2" name="Chart 1" title="Jitter Transfer Funct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413547</xdr:colOff>
      <xdr:row>0</xdr:row>
      <xdr:rowOff>123825</xdr:rowOff>
    </xdr:from>
    <xdr:to>
      <xdr:col>15</xdr:col>
      <xdr:colOff>523661</xdr:colOff>
      <xdr:row>3</xdr:row>
      <xdr:rowOff>232685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81672" y="123825"/>
          <a:ext cx="872114" cy="8994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13</xdr:row>
          <xdr:rowOff>152400</xdr:rowOff>
        </xdr:from>
        <xdr:to>
          <xdr:col>4</xdr:col>
          <xdr:colOff>742950</xdr:colOff>
          <xdr:row>14</xdr:row>
          <xdr:rowOff>200025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1152525</xdr:colOff>
          <xdr:row>11</xdr:row>
          <xdr:rowOff>238125</xdr:rowOff>
        </xdr:from>
        <xdr:to>
          <xdr:col>4</xdr:col>
          <xdr:colOff>752475</xdr:colOff>
          <xdr:row>12</xdr:row>
          <xdr:rowOff>285750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Abort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47625</xdr:colOff>
      <xdr:row>16</xdr:row>
      <xdr:rowOff>276225</xdr:rowOff>
    </xdr:from>
    <xdr:to>
      <xdr:col>14</xdr:col>
      <xdr:colOff>533400</xdr:colOff>
      <xdr:row>18</xdr:row>
      <xdr:rowOff>323850</xdr:rowOff>
    </xdr:to>
    <xdr:sp macro="" textlink="">
      <xdr:nvSpPr>
        <xdr:cNvPr id="6" name="TextBox 5" descr="TB1"/>
        <xdr:cNvSpPr txBox="1"/>
      </xdr:nvSpPr>
      <xdr:spPr>
        <a:xfrm>
          <a:off x="10953750" y="4810125"/>
          <a:ext cx="1247775" cy="48577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Peaking:</a:t>
          </a:r>
        </a:p>
        <a:p>
          <a:r>
            <a:rPr lang="de-DE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3dB Bandwidth: </a:t>
          </a:r>
        </a:p>
      </xdr:txBody>
    </xdr:sp>
    <xdr:clientData/>
  </xdr:twoCellAnchor>
  <xdr:twoCellAnchor>
    <xdr:from>
      <xdr:col>14</xdr:col>
      <xdr:colOff>438150</xdr:colOff>
      <xdr:row>16</xdr:row>
      <xdr:rowOff>276225</xdr:rowOff>
    </xdr:from>
    <xdr:to>
      <xdr:col>15</xdr:col>
      <xdr:colOff>609600</xdr:colOff>
      <xdr:row>18</xdr:row>
      <xdr:rowOff>323850</xdr:rowOff>
    </xdr:to>
    <xdr:sp macro="" textlink="">
      <xdr:nvSpPr>
        <xdr:cNvPr id="11" name="TextBox 10" descr="TB2"/>
        <xdr:cNvSpPr txBox="1"/>
      </xdr:nvSpPr>
      <xdr:spPr>
        <a:xfrm>
          <a:off x="12106275" y="4810125"/>
          <a:ext cx="933450" cy="48577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de-DE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-- -- --
-- -- --</a:t>
          </a:r>
        </a:p>
      </xdr:txBody>
    </xdr:sp>
    <xdr:clientData/>
  </xdr:twoCellAnchor>
  <xdr:twoCellAnchor>
    <xdr:from>
      <xdr:col>6</xdr:col>
      <xdr:colOff>514351</xdr:colOff>
      <xdr:row>16</xdr:row>
      <xdr:rowOff>276225</xdr:rowOff>
    </xdr:from>
    <xdr:to>
      <xdr:col>8</xdr:col>
      <xdr:colOff>28576</xdr:colOff>
      <xdr:row>18</xdr:row>
      <xdr:rowOff>323850</xdr:rowOff>
    </xdr:to>
    <xdr:sp macro="" textlink="">
      <xdr:nvSpPr>
        <xdr:cNvPr id="14" name="TextBox 13" descr="TB3"/>
        <xdr:cNvSpPr txBox="1"/>
      </xdr:nvSpPr>
      <xdr:spPr>
        <a:xfrm>
          <a:off x="6324601" y="4810125"/>
          <a:ext cx="1409700" cy="48577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Signal Frequency:</a:t>
          </a:r>
        </a:p>
        <a:p>
          <a:r>
            <a:rPr lang="de-DE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Signal Level: </a:t>
          </a:r>
        </a:p>
      </xdr:txBody>
    </xdr:sp>
    <xdr:clientData/>
  </xdr:twoCellAnchor>
  <xdr:twoCellAnchor editAs="absolute">
    <xdr:from>
      <xdr:col>7</xdr:col>
      <xdr:colOff>1047750</xdr:colOff>
      <xdr:row>16</xdr:row>
      <xdr:rowOff>295275</xdr:rowOff>
    </xdr:from>
    <xdr:to>
      <xdr:col>9</xdr:col>
      <xdr:colOff>114299</xdr:colOff>
      <xdr:row>18</xdr:row>
      <xdr:rowOff>342900</xdr:rowOff>
    </xdr:to>
    <xdr:sp macro="" textlink="">
      <xdr:nvSpPr>
        <xdr:cNvPr id="15" name="TextBox 14" descr="TB4"/>
        <xdr:cNvSpPr txBox="1"/>
      </xdr:nvSpPr>
      <xdr:spPr>
        <a:xfrm>
          <a:off x="7658100" y="4791075"/>
          <a:ext cx="942974" cy="48577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de-DE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-- -- --
-- -- --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1</xdr:row>
      <xdr:rowOff>9525</xdr:rowOff>
    </xdr:from>
    <xdr:to>
      <xdr:col>12</xdr:col>
      <xdr:colOff>38100</xdr:colOff>
      <xdr:row>8</xdr:row>
      <xdr:rowOff>28575</xdr:rowOff>
    </xdr:to>
    <xdr:grpSp>
      <xdr:nvGrpSpPr>
        <xdr:cNvPr id="15" name="Group 14"/>
        <xdr:cNvGrpSpPr/>
      </xdr:nvGrpSpPr>
      <xdr:grpSpPr>
        <a:xfrm>
          <a:off x="7724775" y="190500"/>
          <a:ext cx="4086225" cy="1476375"/>
          <a:chOff x="8382000" y="609600"/>
          <a:chExt cx="4086225" cy="1476375"/>
        </a:xfrm>
      </xdr:grpSpPr>
      <xdr:sp macro="" textlink="">
        <xdr:nvSpPr>
          <xdr:cNvPr id="2" name="Rectangle 1"/>
          <xdr:cNvSpPr/>
        </xdr:nvSpPr>
        <xdr:spPr>
          <a:xfrm>
            <a:off x="8582025" y="1123950"/>
            <a:ext cx="1019175" cy="628649"/>
          </a:xfrm>
          <a:prstGeom prst="rect">
            <a:avLst/>
          </a:prstGeom>
          <a:solidFill>
            <a:srgbClr val="00B9F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SMA100B</a:t>
            </a:r>
          </a:p>
        </xdr:txBody>
      </xdr:sp>
      <xdr:sp macro="" textlink="">
        <xdr:nvSpPr>
          <xdr:cNvPr id="3" name="Rectangle 2"/>
          <xdr:cNvSpPr/>
        </xdr:nvSpPr>
        <xdr:spPr>
          <a:xfrm>
            <a:off x="11287125" y="1123950"/>
            <a:ext cx="1019175" cy="628649"/>
          </a:xfrm>
          <a:prstGeom prst="rect">
            <a:avLst/>
          </a:prstGeom>
          <a:solidFill>
            <a:srgbClr val="00B9F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FSWP</a:t>
            </a:r>
          </a:p>
        </xdr:txBody>
      </xdr:sp>
      <xdr:sp macro="" textlink="">
        <xdr:nvSpPr>
          <xdr:cNvPr id="5" name="Pentagon 4"/>
          <xdr:cNvSpPr/>
        </xdr:nvSpPr>
        <xdr:spPr>
          <a:xfrm>
            <a:off x="9610725" y="1381125"/>
            <a:ext cx="1676400" cy="72000"/>
          </a:xfrm>
          <a:prstGeom prst="homePlate">
            <a:avLst/>
          </a:prstGeom>
          <a:solidFill>
            <a:srgbClr val="AEB5B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0" name="TextBox 9"/>
          <xdr:cNvSpPr txBox="1"/>
        </xdr:nvSpPr>
        <xdr:spPr>
          <a:xfrm>
            <a:off x="8382000" y="609600"/>
            <a:ext cx="4086225" cy="254557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de-DE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Calibration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8391525" y="866775"/>
            <a:ext cx="4076700" cy="1219200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>
    <xdr:from>
      <xdr:col>5</xdr:col>
      <xdr:colOff>219075</xdr:colOff>
      <xdr:row>9</xdr:row>
      <xdr:rowOff>180975</xdr:rowOff>
    </xdr:from>
    <xdr:to>
      <xdr:col>12</xdr:col>
      <xdr:colOff>38100</xdr:colOff>
      <xdr:row>13</xdr:row>
      <xdr:rowOff>390525</xdr:rowOff>
    </xdr:to>
    <xdr:grpSp>
      <xdr:nvGrpSpPr>
        <xdr:cNvPr id="14" name="Group 13"/>
        <xdr:cNvGrpSpPr/>
      </xdr:nvGrpSpPr>
      <xdr:grpSpPr>
        <a:xfrm>
          <a:off x="7724775" y="2000250"/>
          <a:ext cx="4086225" cy="1657350"/>
          <a:chOff x="8382000" y="2781300"/>
          <a:chExt cx="4086225" cy="1476375"/>
        </a:xfrm>
      </xdr:grpSpPr>
      <xdr:sp macro="" textlink="">
        <xdr:nvSpPr>
          <xdr:cNvPr id="4" name="Rectangle 3"/>
          <xdr:cNvSpPr/>
        </xdr:nvSpPr>
        <xdr:spPr>
          <a:xfrm>
            <a:off x="10020300" y="3400425"/>
            <a:ext cx="809625" cy="466725"/>
          </a:xfrm>
          <a:prstGeom prst="rect">
            <a:avLst/>
          </a:prstGeom>
          <a:solidFill>
            <a:srgbClr val="F9B75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DUT</a:t>
            </a:r>
          </a:p>
        </xdr:txBody>
      </xdr:sp>
      <xdr:sp macro="" textlink="">
        <xdr:nvSpPr>
          <xdr:cNvPr id="6" name="Rectangle 5"/>
          <xdr:cNvSpPr/>
        </xdr:nvSpPr>
        <xdr:spPr>
          <a:xfrm>
            <a:off x="8562975" y="3333750"/>
            <a:ext cx="1019175" cy="628649"/>
          </a:xfrm>
          <a:prstGeom prst="rect">
            <a:avLst/>
          </a:prstGeom>
          <a:solidFill>
            <a:srgbClr val="00B9F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SMA100B</a:t>
            </a:r>
          </a:p>
        </xdr:txBody>
      </xdr:sp>
      <xdr:sp macro="" textlink="">
        <xdr:nvSpPr>
          <xdr:cNvPr id="7" name="Rectangle 6"/>
          <xdr:cNvSpPr/>
        </xdr:nvSpPr>
        <xdr:spPr>
          <a:xfrm>
            <a:off x="11268075" y="3333750"/>
            <a:ext cx="1019175" cy="628649"/>
          </a:xfrm>
          <a:prstGeom prst="rect">
            <a:avLst/>
          </a:prstGeom>
          <a:solidFill>
            <a:srgbClr val="00B9F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FSWP</a:t>
            </a:r>
          </a:p>
        </xdr:txBody>
      </xdr:sp>
      <xdr:sp macro="" textlink="">
        <xdr:nvSpPr>
          <xdr:cNvPr id="8" name="Pentagon 7"/>
          <xdr:cNvSpPr/>
        </xdr:nvSpPr>
        <xdr:spPr>
          <a:xfrm>
            <a:off x="9591676" y="3590925"/>
            <a:ext cx="419100" cy="72000"/>
          </a:xfrm>
          <a:prstGeom prst="homePlate">
            <a:avLst/>
          </a:prstGeom>
          <a:solidFill>
            <a:srgbClr val="AEB5B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9" name="Pentagon 8"/>
          <xdr:cNvSpPr/>
        </xdr:nvSpPr>
        <xdr:spPr>
          <a:xfrm>
            <a:off x="10848976" y="3600450"/>
            <a:ext cx="419100" cy="72000"/>
          </a:xfrm>
          <a:prstGeom prst="homePlate">
            <a:avLst/>
          </a:prstGeom>
          <a:solidFill>
            <a:srgbClr val="AEB5B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" name="TextBox 11"/>
          <xdr:cNvSpPr txBox="1"/>
        </xdr:nvSpPr>
        <xdr:spPr>
          <a:xfrm>
            <a:off x="8382000" y="2781300"/>
            <a:ext cx="4086225" cy="254557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de-DE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Measurement</a:t>
            </a:r>
          </a:p>
        </xdr:txBody>
      </xdr:sp>
      <xdr:sp macro="" textlink="">
        <xdr:nvSpPr>
          <xdr:cNvPr id="13" name="Rectangle 12"/>
          <xdr:cNvSpPr/>
        </xdr:nvSpPr>
        <xdr:spPr>
          <a:xfrm>
            <a:off x="8391525" y="3038475"/>
            <a:ext cx="4076700" cy="1219200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oneCellAnchor>
    <xdr:from>
      <xdr:col>5</xdr:col>
      <xdr:colOff>219076</xdr:colOff>
      <xdr:row>14</xdr:row>
      <xdr:rowOff>133350</xdr:rowOff>
    </xdr:from>
    <xdr:ext cx="8734424" cy="478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/>
            <xdr:cNvSpPr txBox="1"/>
          </xdr:nvSpPr>
          <xdr:spPr>
            <a:xfrm>
              <a:off x="7724776" y="3943350"/>
              <a:ext cx="8734424" cy="478759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200" b="1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Jitter value of FM modulated CW at offset frequency f</a:t>
              </a:r>
              <a:r>
                <a:rPr lang="de-DE" sz="1200" b="1" baseline="-250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m</a:t>
              </a:r>
              <a:r>
                <a:rPr lang="de-DE" sz="1200" b="1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:</a:t>
              </a:r>
              <a:endParaRPr lang="de-DE" sz="1200">
                <a:solidFill>
                  <a:schemeClr val="tx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endParaRPr lang="de-DE" sz="1200">
                <a:solidFill>
                  <a:schemeClr val="tx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r>
                <a:rPr lang="x-IV_mathan" sz="12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x-IV_mathan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nor/>
                        </m:rPr>
                        <a:rPr lang="x-IV_mathan" sz="1200">
                          <a:solidFill>
                            <a:schemeClr val="tx1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m:t>J</m:t>
                      </m:r>
                    </m:e>
                    <m:sub>
                      <m:r>
                        <m:rPr>
                          <m:nor/>
                        </m:rPr>
                        <a:rPr lang="de-DE" sz="1200" b="0" i="0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S</m:t>
                      </m:r>
                    </m:sub>
                  </m:sSub>
                  <m:r>
                    <m:rPr>
                      <m:nor/>
                    </m:rPr>
                    <a:rPr lang="x-IV_mathan" sz="1200" i="1">
                      <a:solidFill>
                        <a:schemeClr val="tx1"/>
                      </a:solidFill>
                      <a:effectLst/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rPr>
                    <m:t> </m:t>
                  </m:r>
                  <m:r>
                    <m:rPr>
                      <m:nor/>
                    </m:rPr>
                    <a:rPr lang="x-IV_mathan" sz="1200">
                      <a:solidFill>
                        <a:schemeClr val="tx1"/>
                      </a:solidFill>
                      <a:effectLst/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rPr>
                    <m:t>[</m:t>
                  </m:r>
                  <m:r>
                    <m:rPr>
                      <m:nor/>
                    </m:rPr>
                    <a:rPr lang="x-IV_mathan" sz="1200">
                      <a:solidFill>
                        <a:schemeClr val="tx1"/>
                      </a:solidFill>
                      <a:effectLst/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rPr>
                    <m:t>s</m:t>
                  </m:r>
                  <m:r>
                    <m:rPr>
                      <m:nor/>
                    </m:rPr>
                    <a:rPr lang="x-IV_mathan" sz="1200">
                      <a:solidFill>
                        <a:schemeClr val="tx1"/>
                      </a:solidFill>
                      <a:effectLst/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rPr>
                    <m:t>]</m:t>
                  </m:r>
                  <m:r>
                    <a:rPr lang="x-IV_mathan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x-IV_mathan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ad>
                        <m:radPr>
                          <m:degHide m:val="on"/>
                          <m:ctrlPr>
                            <a:rPr lang="x-IV_mathan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radPr>
                        <m:deg/>
                        <m:e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2∙</m:t>
                          </m:r>
                          <m:sSub>
                            <m:sSubPr>
                              <m:ctrlPr>
                                <a:rPr lang="x-IV_mathan" sz="12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x-IV_mathan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𝐴</m:t>
                              </m:r>
                            </m:e>
                            <m:sub>
                              <m:r>
                                <a:rPr lang="de-DE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𝑚</m:t>
                              </m:r>
                            </m:sub>
                          </m:sSub>
                        </m:e>
                      </m:rad>
                    </m:num>
                    <m:den>
                      <m:r>
                        <a:rPr lang="x-IV_mathan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  <m:r>
                        <a:rPr lang="x-IV_mathan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𝜋</m:t>
                      </m:r>
                      <m:r>
                        <a:rPr lang="x-IV_mathan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∙</m:t>
                      </m:r>
                      <m:sSub>
                        <m:sSubPr>
                          <m:ctrlPr>
                            <a:rPr lang="x-IV_mathan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𝑓</m:t>
                          </m:r>
                        </m:e>
                        <m:sub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0</m:t>
                          </m:r>
                        </m:sub>
                      </m:sSub>
                    </m:den>
                  </m:f>
                </m:oMath>
              </a14:m>
              <a:endParaRPr lang="x-IV_mathan" sz="1200">
                <a:solidFill>
                  <a:schemeClr val="tx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 </a:t>
              </a:r>
            </a:p>
            <a:p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f</a:t>
              </a:r>
              <a:r>
                <a:rPr lang="de-DE" sz="1200" baseline="-250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0</a:t>
              </a:r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 ... clock frequency</a:t>
              </a:r>
            </a:p>
            <a:p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</a:t>
              </a:r>
              <a:r>
                <a:rPr lang="de-DE" sz="1200" baseline="-250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m</a:t>
              </a:r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... relative spur power, linear domain</a:t>
              </a:r>
              <a:r>
                <a:rPr lang="de-DE" sz="1200" baseline="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. </a:t>
              </a:r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single sideband spurious power relative to the carrier power.</a:t>
              </a:r>
            </a:p>
            <a:p>
              <a:endParaRPr lang="de-DE" sz="120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r>
                <a:rPr lang="de-DE" sz="1200" b="1">
                  <a:latin typeface="Arial" panose="020B0604020202020204" pitchFamily="34" charset="0"/>
                  <a:cs typeface="Arial" panose="020B0604020202020204" pitchFamily="34" charset="0"/>
                </a:rPr>
                <a:t>Relative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power A</a:t>
              </a:r>
              <a:r>
                <a:rPr lang="de-DE" sz="1200" b="1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of FM modulation at f</a:t>
              </a:r>
              <a:r>
                <a:rPr lang="de-DE" sz="1200" b="1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for given jitter value:</a:t>
              </a:r>
            </a:p>
            <a:p>
              <a:endParaRPr lang="de-DE" sz="1200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x-IV_mathan" sz="12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x-IV_mathan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de-D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</m:t>
                      </m:r>
                    </m:e>
                    <m:sub>
                      <m:r>
                        <a:rPr lang="de-D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𝑚</m:t>
                      </m:r>
                    </m:sub>
                  </m:sSub>
                  <m:r>
                    <a:rPr lang="x-IV_mathan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p>
                    <m:sSupPr>
                      <m:ctrlPr>
                        <a:rPr lang="x-IV_mathan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de-D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  <m:d>
                        <m:dPr>
                          <m:ctrlPr>
                            <a:rPr lang="x-IV_mathan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𝜋</m:t>
                          </m:r>
                          <m:sSub>
                            <m:sSubPr>
                              <m:ctrlPr>
                                <a:rPr lang="x-IV_mathan" sz="12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x-IV_mathan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𝑓</m:t>
                              </m:r>
                            </m:e>
                            <m:sub>
                              <m:r>
                                <a:rPr lang="x-IV_mathan" sz="1200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</m:t>
                              </m:r>
                            </m:sub>
                          </m:sSub>
                          <m:sSub>
                            <m:sSubPr>
                              <m:ctrlPr>
                                <a:rPr lang="x-IV_mathan" sz="120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de-DE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𝐽</m:t>
                              </m:r>
                            </m:e>
                            <m:sub>
                              <m:r>
                                <a:rPr lang="de-DE" sz="12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𝑆</m:t>
                              </m:r>
                            </m:sub>
                          </m:sSub>
                        </m:e>
                      </m:d>
                    </m:e>
                    <m:sup>
                      <m:r>
                        <a:rPr lang="de-D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endParaRPr lang="de-DE" sz="120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 b="1">
                  <a:latin typeface="Arial" panose="020B0604020202020204" pitchFamily="34" charset="0"/>
                  <a:cs typeface="Arial" panose="020B0604020202020204" pitchFamily="34" charset="0"/>
                </a:rPr>
                <a:t>FM modulation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index </a:t>
              </a:r>
              <a:r>
                <a:rPr lang="el-GR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β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x-IV_mathan" sz="12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	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x-IV_mathan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β</m:t>
                  </m:r>
                  <m:r>
                    <a:rPr lang="x-IV_mathan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x-IV_mathan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x-IV_mathan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𝑓</m:t>
                          </m:r>
                        </m:e>
                        <m:sub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𝐷𝑒𝑣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x-IV_mathan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𝑓</m:t>
                          </m:r>
                        </m:e>
                        <m:sub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𝑚</m:t>
                          </m:r>
                        </m:sub>
                      </m:sSub>
                    </m:den>
                  </m:f>
                </m:oMath>
              </a14:m>
              <a:endParaRPr lang="de-DE" sz="1200" b="1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 b="0">
                  <a:latin typeface="Arial" panose="020B0604020202020204" pitchFamily="34" charset="0"/>
                  <a:cs typeface="Arial" panose="020B0604020202020204" pitchFamily="34" charset="0"/>
                </a:rPr>
                <a:t>f</a:t>
              </a:r>
              <a:r>
                <a:rPr lang="de-DE" sz="1200" b="0" baseline="-25000">
                  <a:latin typeface="Arial" panose="020B0604020202020204" pitchFamily="34" charset="0"/>
                  <a:cs typeface="Arial" panose="020B0604020202020204" pitchFamily="34" charset="0"/>
                </a:rPr>
                <a:t>Dev</a:t>
              </a:r>
              <a:r>
                <a:rPr lang="de-DE" sz="1200" b="0">
                  <a:latin typeface="Arial" panose="020B0604020202020204" pitchFamily="34" charset="0"/>
                  <a:cs typeface="Arial" panose="020B0604020202020204" pitchFamily="34" charset="0"/>
                </a:rPr>
                <a:t> ... FM Deviation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 b="0">
                  <a:latin typeface="Arial" panose="020B0604020202020204" pitchFamily="34" charset="0"/>
                  <a:cs typeface="Arial" panose="020B0604020202020204" pitchFamily="34" charset="0"/>
                </a:rPr>
                <a:t>f</a:t>
              </a:r>
              <a:r>
                <a:rPr lang="de-DE" sz="1200" b="0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0">
                  <a:latin typeface="Arial" panose="020B0604020202020204" pitchFamily="34" charset="0"/>
                  <a:cs typeface="Arial" panose="020B0604020202020204" pitchFamily="34" charset="0"/>
                </a:rPr>
                <a:t>   ... modulation frequency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="1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x-IV_mathan" sz="12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x-IV_mathan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x-IV_mathan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</m:t>
                      </m:r>
                    </m:e>
                    <m:sub>
                      <m:r>
                        <a:rPr lang="de-DE" sz="12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𝑚</m:t>
                      </m:r>
                    </m:sub>
                  </m:sSub>
                  <m:r>
                    <a:rPr lang="x-IV_mathan" sz="120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f>
                    <m:fPr>
                      <m:ctrlPr>
                        <a:rPr lang="x-IV_mathan" sz="12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p>
                        <m:sSupPr>
                          <m:ctrlPr>
                            <a:rPr lang="x-IV_mathan" sz="12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𝛽</m:t>
                          </m:r>
                        </m:e>
                        <m:sup>
                          <m:r>
                            <a:rPr lang="x-IV_mathan" sz="120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num>
                    <m:den>
                      <m:r>
                        <a:rPr lang="x-IV_mathan" sz="120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</m:t>
                      </m:r>
                    </m:den>
                  </m:f>
                </m:oMath>
              </a14:m>
              <a:endParaRPr lang="de-DE" sz="1200" b="1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="1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 b="1">
                  <a:latin typeface="Arial" panose="020B0604020202020204" pitchFamily="34" charset="0"/>
                  <a:cs typeface="Arial" panose="020B0604020202020204" pitchFamily="34" charset="0"/>
                </a:rPr>
                <a:t>FM frequeny deviation at f</a:t>
              </a:r>
              <a:r>
                <a:rPr lang="de-DE" sz="1200" b="1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1">
                  <a:latin typeface="Arial" panose="020B0604020202020204" pitchFamily="34" charset="0"/>
                  <a:cs typeface="Arial" panose="020B0604020202020204" pitchFamily="34" charset="0"/>
                </a:rPr>
                <a:t> to generate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A</a:t>
              </a:r>
              <a:r>
                <a:rPr lang="de-DE" sz="1200" b="1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>
                  <a:cs typeface="Arial" panose="020B0604020202020204" pitchFamily="34" charset="0"/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de-DE" sz="1200" i="1">
                          <a:latin typeface="Cambria Math" panose="02040503050406030204" pitchFamily="18" charset="0"/>
                          <a:cs typeface="Arial" panose="020B0604020202020204" pitchFamily="34" charset="0"/>
                        </a:rPr>
                      </m:ctrlPr>
                    </m:sSubPr>
                    <m:e>
                      <m:r>
                        <a:rPr lang="de-DE" sz="1200" b="0" i="1">
                          <a:latin typeface="Cambria Math" panose="02040503050406030204" pitchFamily="18" charset="0"/>
                          <a:cs typeface="Arial" panose="020B0604020202020204" pitchFamily="34" charset="0"/>
                        </a:rPr>
                        <m:t>𝑓</m:t>
                      </m:r>
                    </m:e>
                    <m:sub>
                      <m:r>
                        <a:rPr lang="de-DE" sz="1200" b="0" i="1">
                          <a:latin typeface="Cambria Math" panose="02040503050406030204" pitchFamily="18" charset="0"/>
                          <a:cs typeface="Arial" panose="020B0604020202020204" pitchFamily="34" charset="0"/>
                        </a:rPr>
                        <m:t>𝐷𝑒𝑣</m:t>
                      </m:r>
                    </m:sub>
                  </m:sSub>
                  <m:r>
                    <a:rPr lang="de-DE" sz="1200" b="0" i="1">
                      <a:latin typeface="Cambria Math" panose="02040503050406030204" pitchFamily="18" charset="0"/>
                      <a:cs typeface="Arial" panose="020B0604020202020204" pitchFamily="34" charset="0"/>
                    </a:rPr>
                    <m:t>=2</m:t>
                  </m:r>
                  <m:sSub>
                    <m:sSubPr>
                      <m:ctrlPr>
                        <a:rPr lang="de-DE" sz="1200" b="0" i="1">
                          <a:latin typeface="Cambria Math" panose="02040503050406030204" pitchFamily="18" charset="0"/>
                          <a:cs typeface="Arial" panose="020B0604020202020204" pitchFamily="34" charset="0"/>
                        </a:rPr>
                      </m:ctrlPr>
                    </m:sSubPr>
                    <m:e>
                      <m:r>
                        <a:rPr lang="de-DE" sz="1200" b="0" i="1">
                          <a:latin typeface="Cambria Math" panose="02040503050406030204" pitchFamily="18" charset="0"/>
                          <a:cs typeface="Arial" panose="020B0604020202020204" pitchFamily="34" charset="0"/>
                        </a:rPr>
                        <m:t>𝑓</m:t>
                      </m:r>
                    </m:e>
                    <m:sub>
                      <m:r>
                        <a:rPr lang="de-DE" sz="1200" b="0" i="1">
                          <a:latin typeface="Cambria Math" panose="02040503050406030204" pitchFamily="18" charset="0"/>
                          <a:cs typeface="Arial" panose="020B0604020202020204" pitchFamily="34" charset="0"/>
                        </a:rPr>
                        <m:t>𝑚</m:t>
                      </m:r>
                    </m:sub>
                  </m:sSub>
                  <m:rad>
                    <m:radPr>
                      <m:degHide m:val="on"/>
                      <m:ctrlPr>
                        <a:rPr lang="de-DE" sz="1200" b="0" i="1">
                          <a:latin typeface="Cambria Math" panose="02040503050406030204" pitchFamily="18" charset="0"/>
                          <a:cs typeface="Arial" panose="020B0604020202020204" pitchFamily="34" charset="0"/>
                        </a:rPr>
                      </m:ctrlPr>
                    </m:radPr>
                    <m:deg/>
                    <m:e>
                      <m:sSub>
                        <m:sSubPr>
                          <m:ctrlPr>
                            <a:rPr lang="de-DE" sz="1200" b="0" i="1">
                              <a:latin typeface="Cambria Math" panose="02040503050406030204" pitchFamily="18" charset="0"/>
                              <a:cs typeface="Arial" panose="020B0604020202020204" pitchFamily="34" charset="0"/>
                            </a:rPr>
                          </m:ctrlPr>
                        </m:sSubPr>
                        <m:e>
                          <m:r>
                            <a:rPr lang="de-DE" sz="1200" b="0" i="1">
                              <a:latin typeface="Cambria Math" panose="02040503050406030204" pitchFamily="18" charset="0"/>
                              <a:cs typeface="Arial" panose="020B0604020202020204" pitchFamily="34" charset="0"/>
                            </a:rPr>
                            <m:t>𝐴</m:t>
                          </m:r>
                        </m:e>
                        <m:sub>
                          <m:r>
                            <a:rPr lang="de-DE" sz="1200" b="0" i="1">
                              <a:latin typeface="Cambria Math" panose="02040503050406030204" pitchFamily="18" charset="0"/>
                              <a:cs typeface="Arial" panose="020B0604020202020204" pitchFamily="34" charset="0"/>
                            </a:rPr>
                            <m:t>𝑚</m:t>
                          </m:r>
                        </m:sub>
                      </m:sSub>
                    </m:e>
                  </m:rad>
                </m:oMath>
              </a14:m>
              <a:endParaRPr lang="de-DE" sz="12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Choice>
      <mc:Fallback xmlns="">
        <xdr:sp macro="" textlink="">
          <xdr:nvSpPr>
            <xdr:cNvPr id="18" name="TextBox 17"/>
            <xdr:cNvSpPr txBox="1"/>
          </xdr:nvSpPr>
          <xdr:spPr>
            <a:xfrm>
              <a:off x="7724776" y="3943350"/>
              <a:ext cx="8734424" cy="478759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200" b="1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Jitter value of FM modulated CW at offset frequency f</a:t>
              </a:r>
              <a:r>
                <a:rPr lang="de-DE" sz="1200" b="1" baseline="-250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m</a:t>
              </a:r>
              <a:r>
                <a:rPr lang="de-DE" sz="1200" b="1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:</a:t>
              </a:r>
              <a:endParaRPr lang="de-DE" sz="1200">
                <a:solidFill>
                  <a:schemeClr val="tx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endParaRPr lang="de-DE" sz="1200">
                <a:solidFill>
                  <a:schemeClr val="tx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r>
                <a:rPr lang="x-IV_mathan" sz="12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	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"J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Arial" panose="020B0604020202020204" pitchFamily="34" charset="0"/>
                </a:rPr>
                <a:t>" 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"S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x-IV_mathan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"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Arial" panose="020B0604020202020204" pitchFamily="34" charset="0"/>
                </a:rPr>
                <a:t> [s]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"=√(2∙𝐴_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 </a:t>
              </a:r>
              <a:r>
                <a:rPr lang="x-IV_mathan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2𝜋∙𝑓_0 )</a:t>
              </a:r>
              <a:endParaRPr lang="x-IV_mathan" sz="1200">
                <a:solidFill>
                  <a:schemeClr val="tx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endParaRPr>
            </a:p>
            <a:p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 </a:t>
              </a:r>
            </a:p>
            <a:p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f</a:t>
              </a:r>
              <a:r>
                <a:rPr lang="de-DE" sz="1200" baseline="-250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0</a:t>
              </a:r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 ... clock frequency</a:t>
              </a:r>
            </a:p>
            <a:p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</a:t>
              </a:r>
              <a:r>
                <a:rPr lang="de-DE" sz="1200" baseline="-250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m</a:t>
              </a:r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... relative spur power, linear domain</a:t>
              </a:r>
              <a:r>
                <a:rPr lang="de-DE" sz="1200" baseline="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. </a:t>
              </a:r>
              <a:r>
                <a:rPr lang="de-DE" sz="1200">
                  <a:solidFill>
                    <a:schemeClr val="tx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single sideband spurious power relative to the carrier power.</a:t>
              </a:r>
            </a:p>
            <a:p>
              <a:endParaRPr lang="de-DE" sz="120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r>
                <a:rPr lang="de-DE" sz="1200" b="1">
                  <a:latin typeface="Arial" panose="020B0604020202020204" pitchFamily="34" charset="0"/>
                  <a:cs typeface="Arial" panose="020B0604020202020204" pitchFamily="34" charset="0"/>
                </a:rPr>
                <a:t>Relative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power A</a:t>
              </a:r>
              <a:r>
                <a:rPr lang="de-DE" sz="1200" b="1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of FM modulation at f</a:t>
              </a:r>
              <a:r>
                <a:rPr lang="de-DE" sz="1200" b="1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for given jitter value:</a:t>
              </a:r>
            </a:p>
            <a:p>
              <a:endParaRPr lang="de-DE" sz="1200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x-IV_mathan" sz="12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	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</a:t>
              </a:r>
              <a:r>
                <a:rPr lang="x-IV_mathan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=〖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x-IV_mathan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𝜋𝑓_0 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𝐽</a:t>
              </a:r>
              <a:r>
                <a:rPr lang="x-IV_mathan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 )</a:t>
              </a:r>
              <a:r>
                <a:rPr lang="x-IV_mathan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endParaRPr lang="de-DE" sz="120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 b="1">
                  <a:latin typeface="Arial" panose="020B0604020202020204" pitchFamily="34" charset="0"/>
                  <a:cs typeface="Arial" panose="020B0604020202020204" pitchFamily="34" charset="0"/>
                </a:rPr>
                <a:t>FM modulation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index </a:t>
              </a:r>
              <a:r>
                <a:rPr lang="el-GR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β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="1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x-IV_mathan" sz="12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	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β=𝑓_𝐷𝑒𝑣/𝑓_𝑚 </a:t>
              </a:r>
              <a:endParaRPr lang="de-DE" sz="1200" b="1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 b="0">
                  <a:latin typeface="Arial" panose="020B0604020202020204" pitchFamily="34" charset="0"/>
                  <a:cs typeface="Arial" panose="020B0604020202020204" pitchFamily="34" charset="0"/>
                </a:rPr>
                <a:t>f</a:t>
              </a:r>
              <a:r>
                <a:rPr lang="de-DE" sz="1200" b="0" baseline="-25000">
                  <a:latin typeface="Arial" panose="020B0604020202020204" pitchFamily="34" charset="0"/>
                  <a:cs typeface="Arial" panose="020B0604020202020204" pitchFamily="34" charset="0"/>
                </a:rPr>
                <a:t>Dev</a:t>
              </a:r>
              <a:r>
                <a:rPr lang="de-DE" sz="1200" b="0">
                  <a:latin typeface="Arial" panose="020B0604020202020204" pitchFamily="34" charset="0"/>
                  <a:cs typeface="Arial" panose="020B0604020202020204" pitchFamily="34" charset="0"/>
                </a:rPr>
                <a:t> ... FM Deviation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 b="0">
                  <a:latin typeface="Arial" panose="020B0604020202020204" pitchFamily="34" charset="0"/>
                  <a:cs typeface="Arial" panose="020B0604020202020204" pitchFamily="34" charset="0"/>
                </a:rPr>
                <a:t>f</a:t>
              </a:r>
              <a:r>
                <a:rPr lang="de-DE" sz="1200" b="0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0">
                  <a:latin typeface="Arial" panose="020B0604020202020204" pitchFamily="34" charset="0"/>
                  <a:cs typeface="Arial" panose="020B0604020202020204" pitchFamily="34" charset="0"/>
                </a:rPr>
                <a:t>   ... modulation frequency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="1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x-IV_mathan" sz="1200">
                  <a:solidFill>
                    <a:schemeClr val="tx1"/>
                  </a:solidFill>
                  <a:effectLst/>
                  <a:ea typeface="+mn-ea"/>
                  <a:cs typeface="+mn-cs"/>
                </a:rPr>
                <a:t>	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𝐴_</a:t>
              </a:r>
              <a:r>
                <a:rPr lang="de-D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x-IV_mathan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=𝛽^2/4</a:t>
              </a:r>
              <a:endParaRPr lang="de-DE" sz="1200" b="1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="1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 b="1">
                  <a:latin typeface="Arial" panose="020B0604020202020204" pitchFamily="34" charset="0"/>
                  <a:cs typeface="Arial" panose="020B0604020202020204" pitchFamily="34" charset="0"/>
                </a:rPr>
                <a:t>FM frequeny deviation at f</a:t>
              </a:r>
              <a:r>
                <a:rPr lang="de-DE" sz="1200" b="1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1">
                  <a:latin typeface="Arial" panose="020B0604020202020204" pitchFamily="34" charset="0"/>
                  <a:cs typeface="Arial" panose="020B0604020202020204" pitchFamily="34" charset="0"/>
                </a:rPr>
                <a:t> to generate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 A</a:t>
              </a:r>
              <a:r>
                <a:rPr lang="de-DE" sz="1200" b="1" baseline="-25000">
                  <a:latin typeface="Arial" panose="020B0604020202020204" pitchFamily="34" charset="0"/>
                  <a:cs typeface="Arial" panose="020B0604020202020204" pitchFamily="34" charset="0"/>
                </a:rPr>
                <a:t>m</a:t>
              </a:r>
              <a:r>
                <a:rPr lang="de-DE" sz="1200" b="1" baseline="0">
                  <a:latin typeface="Arial" panose="020B0604020202020204" pitchFamily="34" charset="0"/>
                  <a:cs typeface="Arial" panose="020B0604020202020204" pitchFamily="34" charset="0"/>
                </a:rPr>
                <a:t>: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de-DE" sz="1200" baseline="0">
                <a:latin typeface="Arial" panose="020B0604020202020204" pitchFamily="34" charset="0"/>
                <a:cs typeface="Arial" panose="020B0604020202020204" pitchFamily="34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de-DE" sz="1200">
                  <a:cs typeface="Arial" panose="020B0604020202020204" pitchFamily="34" charset="0"/>
                </a:rPr>
                <a:t>	</a:t>
              </a:r>
              <a:r>
                <a:rPr lang="de-DE" sz="1200" b="0" i="0">
                  <a:latin typeface="Cambria Math" panose="02040503050406030204" pitchFamily="18" charset="0"/>
                  <a:cs typeface="Arial" panose="020B0604020202020204" pitchFamily="34" charset="0"/>
                </a:rPr>
                <a:t>𝑓_𝐷𝑒𝑣=2𝑓_𝑚 √(𝐴_𝑚 )</a:t>
              </a:r>
              <a:endParaRPr lang="de-DE" sz="12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mc:Fallback>
    </mc:AlternateContent>
    <xdr:clientData/>
  </xdr:oneCellAnchor>
  <xdr:twoCellAnchor>
    <xdr:from>
      <xdr:col>12</xdr:col>
      <xdr:colOff>581025</xdr:colOff>
      <xdr:row>1</xdr:row>
      <xdr:rowOff>0</xdr:rowOff>
    </xdr:from>
    <xdr:to>
      <xdr:col>19</xdr:col>
      <xdr:colOff>400050</xdr:colOff>
      <xdr:row>13</xdr:row>
      <xdr:rowOff>381000</xdr:rowOff>
    </xdr:to>
    <xdr:grpSp>
      <xdr:nvGrpSpPr>
        <xdr:cNvPr id="44" name="Group 43"/>
        <xdr:cNvGrpSpPr/>
      </xdr:nvGrpSpPr>
      <xdr:grpSpPr>
        <a:xfrm>
          <a:off x="12353925" y="180975"/>
          <a:ext cx="4086225" cy="3467100"/>
          <a:chOff x="12573000" y="457200"/>
          <a:chExt cx="4086225" cy="3286125"/>
        </a:xfrm>
      </xdr:grpSpPr>
      <xdr:sp macro="" textlink="">
        <xdr:nvSpPr>
          <xdr:cNvPr id="19" name="Rectangle 18"/>
          <xdr:cNvSpPr/>
        </xdr:nvSpPr>
        <xdr:spPr>
          <a:xfrm>
            <a:off x="14211300" y="1076325"/>
            <a:ext cx="809625" cy="466725"/>
          </a:xfrm>
          <a:prstGeom prst="rect">
            <a:avLst/>
          </a:prstGeom>
          <a:solidFill>
            <a:srgbClr val="F9B75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DUT</a:t>
            </a:r>
          </a:p>
        </xdr:txBody>
      </xdr:sp>
      <xdr:sp macro="" textlink="">
        <xdr:nvSpPr>
          <xdr:cNvPr id="20" name="Rectangle 19"/>
          <xdr:cNvSpPr/>
        </xdr:nvSpPr>
        <xdr:spPr>
          <a:xfrm>
            <a:off x="12753975" y="1009650"/>
            <a:ext cx="1019175" cy="628649"/>
          </a:xfrm>
          <a:prstGeom prst="rect">
            <a:avLst/>
          </a:prstGeom>
          <a:solidFill>
            <a:srgbClr val="00B9F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SMA100B</a:t>
            </a:r>
          </a:p>
        </xdr:txBody>
      </xdr:sp>
      <xdr:sp macro="" textlink="">
        <xdr:nvSpPr>
          <xdr:cNvPr id="21" name="Rectangle 20"/>
          <xdr:cNvSpPr/>
        </xdr:nvSpPr>
        <xdr:spPr>
          <a:xfrm>
            <a:off x="15459075" y="1009650"/>
            <a:ext cx="1019175" cy="628649"/>
          </a:xfrm>
          <a:prstGeom prst="rect">
            <a:avLst/>
          </a:prstGeom>
          <a:solidFill>
            <a:srgbClr val="00B9F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FSWP</a:t>
            </a:r>
          </a:p>
        </xdr:txBody>
      </xdr:sp>
      <xdr:sp macro="" textlink="">
        <xdr:nvSpPr>
          <xdr:cNvPr id="22" name="Pentagon 21"/>
          <xdr:cNvSpPr/>
        </xdr:nvSpPr>
        <xdr:spPr>
          <a:xfrm>
            <a:off x="13782676" y="1266825"/>
            <a:ext cx="419100" cy="72000"/>
          </a:xfrm>
          <a:prstGeom prst="homePlate">
            <a:avLst/>
          </a:prstGeom>
          <a:solidFill>
            <a:srgbClr val="AEB5B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3" name="Pentagon 22"/>
          <xdr:cNvSpPr/>
        </xdr:nvSpPr>
        <xdr:spPr>
          <a:xfrm>
            <a:off x="15039976" y="1276350"/>
            <a:ext cx="419100" cy="72000"/>
          </a:xfrm>
          <a:prstGeom prst="homePlate">
            <a:avLst/>
          </a:prstGeom>
          <a:solidFill>
            <a:srgbClr val="AEB5BB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4" name="TextBox 23"/>
          <xdr:cNvSpPr txBox="1"/>
        </xdr:nvSpPr>
        <xdr:spPr>
          <a:xfrm>
            <a:off x="12573000" y="457200"/>
            <a:ext cx="4086225" cy="254557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de-DE" sz="11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Setup</a:t>
            </a:r>
          </a:p>
        </xdr:txBody>
      </xdr:sp>
      <xdr:sp macro="" textlink="">
        <xdr:nvSpPr>
          <xdr:cNvPr id="25" name="Rectangle 24"/>
          <xdr:cNvSpPr/>
        </xdr:nvSpPr>
        <xdr:spPr>
          <a:xfrm>
            <a:off x="12582525" y="714375"/>
            <a:ext cx="4076700" cy="3028950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cxnSp macro="">
        <xdr:nvCxnSpPr>
          <xdr:cNvPr id="26" name="Elbow Connector 25"/>
          <xdr:cNvCxnSpPr>
            <a:stCxn id="20" idx="2"/>
            <a:endCxn id="21" idx="2"/>
          </xdr:cNvCxnSpPr>
        </xdr:nvCxnSpPr>
        <xdr:spPr>
          <a:xfrm rot="16200000" flipH="1">
            <a:off x="14616113" y="285749"/>
            <a:ext cx="12700" cy="2705100"/>
          </a:xfrm>
          <a:prstGeom prst="bentConnector3">
            <a:avLst>
              <a:gd name="adj1" fmla="val 1800000"/>
            </a:avLst>
          </a:prstGeom>
          <a:ln w="12700">
            <a:solidFill>
              <a:schemeClr val="tx1"/>
            </a:solidFill>
            <a:headEnd type="triangl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TextBox 26"/>
          <xdr:cNvSpPr txBox="1"/>
        </xdr:nvSpPr>
        <xdr:spPr>
          <a:xfrm>
            <a:off x="14144625" y="1819275"/>
            <a:ext cx="952890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100">
                <a:latin typeface="Arial" panose="020B0604020202020204" pitchFamily="34" charset="0"/>
                <a:cs typeface="Arial" panose="020B0604020202020204" pitchFamily="34" charset="0"/>
              </a:rPr>
              <a:t>10MHz REF</a:t>
            </a:r>
          </a:p>
        </xdr:txBody>
      </xdr:sp>
      <xdr:sp macro="" textlink="">
        <xdr:nvSpPr>
          <xdr:cNvPr id="28" name="Rectangle 27"/>
          <xdr:cNvSpPr/>
        </xdr:nvSpPr>
        <xdr:spPr>
          <a:xfrm>
            <a:off x="14230350" y="3038475"/>
            <a:ext cx="781050" cy="50482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de-DE" sz="1200" b="1">
                <a:latin typeface="Arial" panose="020B0604020202020204" pitchFamily="34" charset="0"/>
                <a:cs typeface="Arial" panose="020B0604020202020204" pitchFamily="34" charset="0"/>
              </a:rPr>
              <a:t>PC</a:t>
            </a:r>
          </a:p>
        </xdr:txBody>
      </xdr:sp>
      <xdr:pic>
        <xdr:nvPicPr>
          <xdr:cNvPr id="30" name="Picture 29" descr="Port Switch Icon for Computer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616" t="39423" r="10576" b="31731"/>
          <a:stretch/>
        </xdr:blipFill>
        <xdr:spPr bwMode="auto">
          <a:xfrm>
            <a:off x="14277975" y="2305050"/>
            <a:ext cx="685165" cy="247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cxnSp macro="">
        <xdr:nvCxnSpPr>
          <xdr:cNvPr id="32" name="Straight Arrow Connector 31"/>
          <xdr:cNvCxnSpPr>
            <a:stCxn id="30" idx="2"/>
            <a:endCxn id="28" idx="0"/>
          </xdr:cNvCxnSpPr>
        </xdr:nvCxnSpPr>
        <xdr:spPr>
          <a:xfrm>
            <a:off x="14620558" y="2552700"/>
            <a:ext cx="317" cy="485775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Elbow Connector 33"/>
          <xdr:cNvCxnSpPr>
            <a:stCxn id="30" idx="1"/>
            <a:endCxn id="35" idx="2"/>
          </xdr:cNvCxnSpPr>
        </xdr:nvCxnSpPr>
        <xdr:spPr>
          <a:xfrm rot="10800000">
            <a:off x="12915901" y="1632115"/>
            <a:ext cx="1362075" cy="796760"/>
          </a:xfrm>
          <a:prstGeom prst="bentConnector2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Rectangle 34"/>
          <xdr:cNvSpPr/>
        </xdr:nvSpPr>
        <xdr:spPr>
          <a:xfrm>
            <a:off x="12877800" y="1565440"/>
            <a:ext cx="76200" cy="66675"/>
          </a:xfrm>
          <a:prstGeom prst="rect">
            <a:avLst/>
          </a:prstGeom>
          <a:solidFill>
            <a:srgbClr val="00B9F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37" name="Rectangle 36"/>
          <xdr:cNvSpPr/>
        </xdr:nvSpPr>
        <xdr:spPr>
          <a:xfrm>
            <a:off x="16300863" y="1575584"/>
            <a:ext cx="76200" cy="66675"/>
          </a:xfrm>
          <a:prstGeom prst="rect">
            <a:avLst/>
          </a:prstGeom>
          <a:solidFill>
            <a:srgbClr val="00B9F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cxnSp macro="">
        <xdr:nvCxnSpPr>
          <xdr:cNvPr id="39" name="Elbow Connector 38"/>
          <xdr:cNvCxnSpPr>
            <a:stCxn id="30" idx="3"/>
            <a:endCxn id="37" idx="2"/>
          </xdr:cNvCxnSpPr>
        </xdr:nvCxnSpPr>
        <xdr:spPr>
          <a:xfrm flipV="1">
            <a:off x="14963140" y="1642259"/>
            <a:ext cx="1375823" cy="786616"/>
          </a:xfrm>
          <a:prstGeom prst="bentConnector2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/>
          <xdr:cNvSpPr txBox="1"/>
        </xdr:nvSpPr>
        <xdr:spPr>
          <a:xfrm>
            <a:off x="13173075" y="2400300"/>
            <a:ext cx="459100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LAN</a:t>
            </a:r>
          </a:p>
        </xdr:txBody>
      </xdr:sp>
      <xdr:sp macro="" textlink="">
        <xdr:nvSpPr>
          <xdr:cNvPr id="42" name="TextBox 41"/>
          <xdr:cNvSpPr txBox="1"/>
        </xdr:nvSpPr>
        <xdr:spPr>
          <a:xfrm>
            <a:off x="15621000" y="2409825"/>
            <a:ext cx="459100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LAN</a:t>
            </a:r>
          </a:p>
        </xdr:txBody>
      </xdr:sp>
      <xdr:sp macro="" textlink="">
        <xdr:nvSpPr>
          <xdr:cNvPr id="43" name="TextBox 42"/>
          <xdr:cNvSpPr txBox="1"/>
        </xdr:nvSpPr>
        <xdr:spPr>
          <a:xfrm>
            <a:off x="14601825" y="2676525"/>
            <a:ext cx="459100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LAN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Table2" displayName="Table2" ref="B7:D18" totalsRowShown="0" headerRowDxfId="11">
  <autoFilter ref="B7:D18">
    <filterColumn colId="0" hiddenButton="1"/>
    <filterColumn colId="1" hiddenButton="1"/>
    <filterColumn colId="2" hiddenButton="1"/>
  </autoFilter>
  <tableColumns count="3">
    <tableColumn id="1" name="Parameter" dataDxfId="10"/>
    <tableColumn id="2" name="Unit" dataDxfId="9"/>
    <tableColumn id="3" name="Description" dataDxfId="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B21:D25" totalsRowShown="0" headerRowDxfId="7">
  <autoFilter ref="B21:D25">
    <filterColumn colId="0" hiddenButton="1"/>
    <filterColumn colId="1" hiddenButton="1"/>
    <filterColumn colId="2" hiddenButton="1"/>
  </autoFilter>
  <tableColumns count="3">
    <tableColumn id="1" name="Button" dataDxfId="6"/>
    <tableColumn id="2" name=" " dataDxfId="5"/>
    <tableColumn id="3" name="Description" dataDxfId="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5" name="Table5" displayName="Table5" ref="B28:D32" totalsRowShown="0" headerRowDxfId="3">
  <autoFilter ref="B28:D32">
    <filterColumn colId="0" hiddenButton="1"/>
    <filterColumn colId="1" hiddenButton="1"/>
    <filterColumn colId="2" hiddenButton="1"/>
  </autoFilter>
  <tableColumns count="3">
    <tableColumn id="1" name="Chart Element" dataDxfId="2"/>
    <tableColumn id="2" name=" " dataDxfId="1"/>
    <tableColumn id="3" name="Description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autoPageBreaks="0"/>
  </sheetPr>
  <dimension ref="B2:S24"/>
  <sheetViews>
    <sheetView showGridLines="0" showRowColHeaders="0" tabSelected="1" zoomScaleNormal="100" workbookViewId="0">
      <selection activeCell="C5" sqref="C5"/>
    </sheetView>
  </sheetViews>
  <sheetFormatPr defaultColWidth="11.42578125" defaultRowHeight="12.75" x14ac:dyDescent="0.2"/>
  <cols>
    <col min="1" max="1" width="3.42578125" customWidth="1"/>
    <col min="2" max="2" width="20" customWidth="1"/>
    <col min="3" max="3" width="14.28515625" customWidth="1"/>
    <col min="4" max="4" width="23.85546875" customWidth="1"/>
    <col min="5" max="5" width="14.7109375" customWidth="1"/>
    <col min="8" max="8" width="17" customWidth="1"/>
    <col min="9" max="9" width="11.140625" customWidth="1"/>
    <col min="11" max="11" width="6.5703125" customWidth="1"/>
    <col min="12" max="12" width="6.85546875" customWidth="1"/>
  </cols>
  <sheetData>
    <row r="2" spans="2:19" ht="24.95" customHeight="1" x14ac:dyDescent="0.2">
      <c r="B2" s="37" t="s">
        <v>23</v>
      </c>
      <c r="C2" s="37"/>
      <c r="D2" s="37"/>
      <c r="E2" s="37"/>
    </row>
    <row r="3" spans="2:19" ht="24.95" customHeight="1" x14ac:dyDescent="0.2">
      <c r="B3" s="4"/>
      <c r="C3" s="7" t="s">
        <v>16</v>
      </c>
      <c r="D3" s="7" t="s">
        <v>7</v>
      </c>
      <c r="E3" s="7" t="s">
        <v>8</v>
      </c>
      <c r="S3" s="10"/>
    </row>
    <row r="4" spans="2:19" ht="24.95" customHeight="1" thickBot="1" x14ac:dyDescent="0.25">
      <c r="B4" s="9" t="s">
        <v>4</v>
      </c>
      <c r="C4" s="20" t="s">
        <v>65</v>
      </c>
      <c r="D4" s="7"/>
      <c r="E4" s="7"/>
    </row>
    <row r="5" spans="2:19" ht="24.95" customHeight="1" x14ac:dyDescent="0.2">
      <c r="B5" s="9" t="s">
        <v>5</v>
      </c>
      <c r="C5" s="21" t="s">
        <v>67</v>
      </c>
      <c r="D5" s="7"/>
      <c r="E5" s="26" t="s">
        <v>66</v>
      </c>
    </row>
    <row r="6" spans="2:19" ht="24.95" customHeight="1" x14ac:dyDescent="0.2">
      <c r="B6" s="4"/>
      <c r="C6" s="6"/>
      <c r="D6" s="4"/>
      <c r="E6" s="5"/>
    </row>
    <row r="7" spans="2:19" ht="24.95" customHeight="1" x14ac:dyDescent="0.2">
      <c r="B7" s="37" t="s">
        <v>18</v>
      </c>
      <c r="C7" s="37"/>
      <c r="D7" s="37"/>
      <c r="E7" s="37"/>
    </row>
    <row r="8" spans="2:19" ht="9.9499999999999993" customHeight="1" x14ac:dyDescent="0.2">
      <c r="B8" s="8"/>
      <c r="C8" s="8"/>
      <c r="D8" s="8"/>
      <c r="E8" s="8"/>
    </row>
    <row r="9" spans="2:19" ht="24.95" customHeight="1" thickBot="1" x14ac:dyDescent="0.25">
      <c r="B9" s="9" t="s">
        <v>0</v>
      </c>
      <c r="C9" s="22">
        <v>122880000</v>
      </c>
      <c r="D9" s="4" t="s">
        <v>19</v>
      </c>
      <c r="E9" s="4"/>
    </row>
    <row r="10" spans="2:19" ht="24.95" customHeight="1" thickBot="1" x14ac:dyDescent="0.25">
      <c r="B10" s="9" t="s">
        <v>6</v>
      </c>
      <c r="C10" s="23">
        <v>7</v>
      </c>
      <c r="D10" s="4" t="s">
        <v>20</v>
      </c>
      <c r="E10" s="4"/>
    </row>
    <row r="11" spans="2:19" ht="24.95" customHeight="1" thickBot="1" x14ac:dyDescent="0.25">
      <c r="B11" s="9" t="s">
        <v>1</v>
      </c>
      <c r="C11" s="24">
        <v>100</v>
      </c>
      <c r="D11" s="4" t="s">
        <v>19</v>
      </c>
      <c r="E11" s="4"/>
    </row>
    <row r="12" spans="2:19" ht="24.95" customHeight="1" thickBot="1" x14ac:dyDescent="0.25">
      <c r="B12" s="9" t="s">
        <v>2</v>
      </c>
      <c r="C12" s="24">
        <v>10000</v>
      </c>
      <c r="D12" s="4" t="s">
        <v>19</v>
      </c>
      <c r="E12" s="4"/>
    </row>
    <row r="13" spans="2:19" ht="24.95" customHeight="1" thickBot="1" x14ac:dyDescent="0.25">
      <c r="B13" s="9" t="s">
        <v>3</v>
      </c>
      <c r="C13" s="25">
        <v>10</v>
      </c>
      <c r="D13" s="4"/>
      <c r="E13" s="4"/>
    </row>
    <row r="14" spans="2:19" ht="24.95" customHeight="1" thickBot="1" x14ac:dyDescent="0.25">
      <c r="B14" s="9" t="s">
        <v>10</v>
      </c>
      <c r="C14" s="24">
        <v>1.0000000000000001E-9</v>
      </c>
      <c r="D14" s="4" t="s">
        <v>21</v>
      </c>
      <c r="E14" s="4"/>
    </row>
    <row r="15" spans="2:19" ht="24.95" customHeight="1" x14ac:dyDescent="0.2">
      <c r="B15" s="9" t="s">
        <v>52</v>
      </c>
      <c r="C15" s="31">
        <v>20</v>
      </c>
      <c r="D15" s="4"/>
      <c r="E15" s="4"/>
    </row>
    <row r="16" spans="2:19" ht="9.75" customHeight="1" x14ac:dyDescent="0.2">
      <c r="B16" s="9"/>
      <c r="C16" s="32"/>
      <c r="D16" s="4"/>
      <c r="E16" s="4"/>
    </row>
    <row r="17" spans="2:16" ht="24.95" customHeight="1" x14ac:dyDescent="0.2">
      <c r="B17" s="37" t="s">
        <v>24</v>
      </c>
      <c r="C17" s="37"/>
      <c r="D17" s="37"/>
      <c r="E17" s="37"/>
    </row>
    <row r="18" spans="2:16" ht="9.9499999999999993" customHeight="1" x14ac:dyDescent="0.25">
      <c r="B18" s="3"/>
      <c r="C18" s="3"/>
      <c r="D18" s="3"/>
      <c r="E18" s="3"/>
      <c r="G18" s="12"/>
      <c r="H18" s="18"/>
      <c r="I18" s="12">
        <v>108.2636733874055</v>
      </c>
      <c r="J18" s="12"/>
      <c r="K18" s="12"/>
      <c r="L18" s="12"/>
      <c r="M18" s="12"/>
      <c r="N18" s="12"/>
      <c r="O18" s="12"/>
      <c r="P18" s="12"/>
    </row>
    <row r="19" spans="2:16" ht="36" customHeight="1" x14ac:dyDescent="0.2">
      <c r="B19" s="9" t="s">
        <v>4</v>
      </c>
      <c r="C19" s="38"/>
      <c r="D19" s="38"/>
      <c r="E19" s="3"/>
      <c r="G19" s="12"/>
      <c r="H19" s="14"/>
      <c r="I19" s="15"/>
      <c r="J19" s="14"/>
      <c r="K19" s="14"/>
      <c r="L19" s="16"/>
      <c r="M19" s="14"/>
      <c r="N19" s="12"/>
      <c r="O19" s="12"/>
      <c r="P19" s="12"/>
    </row>
    <row r="20" spans="2:16" ht="9.9499999999999993" customHeight="1" x14ac:dyDescent="0.25">
      <c r="B20" s="9"/>
      <c r="C20" s="11"/>
      <c r="D20" s="11"/>
      <c r="E20" s="3"/>
      <c r="G20" s="13"/>
      <c r="H20" s="19"/>
      <c r="I20" s="13"/>
      <c r="J20" s="13"/>
      <c r="K20" s="13"/>
      <c r="L20" s="13"/>
      <c r="M20" s="13"/>
      <c r="N20" s="13"/>
      <c r="O20" s="13"/>
      <c r="P20" s="13"/>
    </row>
    <row r="21" spans="2:16" ht="36" customHeight="1" x14ac:dyDescent="0.2">
      <c r="B21" s="9" t="s">
        <v>5</v>
      </c>
      <c r="C21" s="38"/>
      <c r="D21" s="39"/>
      <c r="E21" s="3"/>
    </row>
    <row r="22" spans="2:16" ht="9.9499999999999993" customHeight="1" x14ac:dyDescent="0.2">
      <c r="B22" s="3"/>
      <c r="C22" s="30"/>
      <c r="D22" s="3"/>
      <c r="E22" s="3"/>
    </row>
    <row r="24" spans="2:16" x14ac:dyDescent="0.2">
      <c r="B24" s="17"/>
    </row>
  </sheetData>
  <sheetProtection password="C469" sheet="1" objects="1" scenarios="1" selectLockedCells="1"/>
  <dataConsolidate/>
  <customSheetViews>
    <customSheetView guid="{878AD307-EED9-4A13-BE3E-F8EDBAE21A4D}">
      <selection activeCell="C2" sqref="C2"/>
      <pageMargins left="0.7" right="0.7" top="0.78740157499999996" bottom="0.78740157499999996" header="0.3" footer="0.3"/>
      <pageSetup paperSize="9" orientation="portrait" r:id="rId1"/>
    </customSheetView>
  </customSheetViews>
  <mergeCells count="5">
    <mergeCell ref="B2:E2"/>
    <mergeCell ref="B7:E7"/>
    <mergeCell ref="B17:E17"/>
    <mergeCell ref="C19:D19"/>
    <mergeCell ref="C21:D21"/>
  </mergeCells>
  <dataValidations count="2">
    <dataValidation allowBlank="1" showErrorMessage="1" prompt="IP address or network name of instrument" sqref="C4"/>
    <dataValidation allowBlank="1" showErrorMessage="1" prompt="test" sqref="C9"/>
  </dataValidation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Calibrate">
                <anchor>
                  <from>
                    <xdr:col>3</xdr:col>
                    <xdr:colOff>1162050</xdr:colOff>
                    <xdr:row>8</xdr:row>
                    <xdr:rowOff>95250</xdr:rowOff>
                  </from>
                  <to>
                    <xdr:col>4</xdr:col>
                    <xdr:colOff>762000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easure">
                <anchor>
                  <from>
                    <xdr:col>3</xdr:col>
                    <xdr:colOff>1162050</xdr:colOff>
                    <xdr:row>10</xdr:row>
                    <xdr:rowOff>9525</xdr:rowOff>
                  </from>
                  <to>
                    <xdr:col>4</xdr:col>
                    <xdr:colOff>762000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Bn_Reset">
                <anchor moveWithCells="1" sizeWithCells="1">
                  <from>
                    <xdr:col>3</xdr:col>
                    <xdr:colOff>1143000</xdr:colOff>
                    <xdr:row>13</xdr:row>
                    <xdr:rowOff>152400</xdr:rowOff>
                  </from>
                  <to>
                    <xdr:col>4</xdr:col>
                    <xdr:colOff>742950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tn_Abort">
                <anchor moveWithCells="1" sizeWithCells="1">
                  <from>
                    <xdr:col>3</xdr:col>
                    <xdr:colOff>1152525</xdr:colOff>
                    <xdr:row>11</xdr:row>
                    <xdr:rowOff>238125</xdr:rowOff>
                  </from>
                  <to>
                    <xdr:col>4</xdr:col>
                    <xdr:colOff>752475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"/>
  <sheetViews>
    <sheetView workbookViewId="0">
      <selection activeCell="B56" sqref="B56"/>
    </sheetView>
  </sheetViews>
  <sheetFormatPr defaultColWidth="9.140625" defaultRowHeight="12.75" x14ac:dyDescent="0.2"/>
  <cols>
    <col min="1" max="1" width="12" bestFit="1" customWidth="1"/>
    <col min="2" max="3" width="12.5703125" bestFit="1" customWidth="1"/>
    <col min="4" max="4" width="14.28515625" bestFit="1" customWidth="1"/>
    <col min="5" max="6" width="13.28515625" bestFit="1" customWidth="1"/>
    <col min="7" max="7" width="12.42578125" customWidth="1"/>
    <col min="8" max="9" width="9.28515625" bestFit="1" customWidth="1"/>
  </cols>
  <sheetData>
    <row r="1" spans="1:4" x14ac:dyDescent="0.2">
      <c r="A1" t="s">
        <v>9</v>
      </c>
      <c r="B1" t="s">
        <v>14</v>
      </c>
      <c r="C1" t="s">
        <v>15</v>
      </c>
      <c r="D1" t="s">
        <v>17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5"/>
  <sheetViews>
    <sheetView workbookViewId="0">
      <selection activeCell="A21" sqref="A21"/>
    </sheetView>
  </sheetViews>
  <sheetFormatPr defaultColWidth="9.140625" defaultRowHeight="12.75" x14ac:dyDescent="0.2"/>
  <cols>
    <col min="1" max="1" width="11.85546875" customWidth="1"/>
    <col min="2" max="2" width="10" bestFit="1" customWidth="1"/>
  </cols>
  <sheetData>
    <row r="1" spans="1:3" x14ac:dyDescent="0.2">
      <c r="A1" t="s">
        <v>13</v>
      </c>
    </row>
    <row r="2" spans="1:3" x14ac:dyDescent="0.2">
      <c r="A2" t="s">
        <v>11</v>
      </c>
      <c r="B2" t="s">
        <v>12</v>
      </c>
    </row>
    <row r="3" spans="1:3" x14ac:dyDescent="0.2">
      <c r="A3" s="2">
        <v>0</v>
      </c>
      <c r="B3" s="2">
        <v>8000000</v>
      </c>
      <c r="C3" s="1">
        <v>0.5</v>
      </c>
    </row>
    <row r="4" spans="1:3" x14ac:dyDescent="0.2">
      <c r="A4" s="2">
        <v>8</v>
      </c>
      <c r="B4" s="2">
        <v>11718750</v>
      </c>
      <c r="C4">
        <f>1/128</f>
        <v>7.8125E-3</v>
      </c>
    </row>
    <row r="5" spans="1:3" x14ac:dyDescent="0.2">
      <c r="A5" s="2">
        <v>11718750</v>
      </c>
      <c r="B5" s="2">
        <v>23437500</v>
      </c>
      <c r="C5">
        <f>1/64</f>
        <v>1.5625E-2</v>
      </c>
    </row>
    <row r="6" spans="1:3" x14ac:dyDescent="0.2">
      <c r="A6" s="2">
        <v>23437500</v>
      </c>
      <c r="B6" s="2">
        <v>46875000</v>
      </c>
      <c r="C6">
        <f>1/32</f>
        <v>3.125E-2</v>
      </c>
    </row>
    <row r="7" spans="1:3" x14ac:dyDescent="0.2">
      <c r="A7" s="2">
        <v>46875000</v>
      </c>
      <c r="B7" s="2">
        <v>93750000</v>
      </c>
      <c r="C7">
        <f>1/16</f>
        <v>6.25E-2</v>
      </c>
    </row>
    <row r="8" spans="1:3" x14ac:dyDescent="0.2">
      <c r="A8" s="2">
        <v>93750000</v>
      </c>
      <c r="B8" s="2">
        <v>187500000</v>
      </c>
      <c r="C8">
        <f>1/8</f>
        <v>0.125</v>
      </c>
    </row>
    <row r="9" spans="1:3" x14ac:dyDescent="0.2">
      <c r="A9" s="2">
        <v>187500000</v>
      </c>
      <c r="B9" s="2">
        <v>375000000</v>
      </c>
      <c r="C9">
        <v>0.25</v>
      </c>
    </row>
    <row r="10" spans="1:3" x14ac:dyDescent="0.2">
      <c r="A10" s="2">
        <v>375000000</v>
      </c>
      <c r="B10" s="2">
        <v>750000000</v>
      </c>
      <c r="C10">
        <v>0.5</v>
      </c>
    </row>
    <row r="11" spans="1:3" x14ac:dyDescent="0.2">
      <c r="A11" s="2">
        <v>750000000</v>
      </c>
      <c r="B11" s="2">
        <v>1500000000</v>
      </c>
      <c r="C11">
        <v>1</v>
      </c>
    </row>
    <row r="12" spans="1:3" x14ac:dyDescent="0.2">
      <c r="A12" s="2">
        <v>1500000000</v>
      </c>
      <c r="B12" s="2">
        <v>3000000000</v>
      </c>
      <c r="C12">
        <v>2</v>
      </c>
    </row>
    <row r="13" spans="1:3" x14ac:dyDescent="0.2">
      <c r="A13" s="2">
        <v>3000000000</v>
      </c>
      <c r="B13" s="2">
        <v>6000000000</v>
      </c>
      <c r="C13">
        <v>4</v>
      </c>
    </row>
    <row r="14" spans="1:3" x14ac:dyDescent="0.2">
      <c r="A14" s="2">
        <v>6000000000</v>
      </c>
      <c r="B14" s="2">
        <v>12000000000</v>
      </c>
      <c r="C14">
        <v>8</v>
      </c>
    </row>
    <row r="15" spans="1:3" x14ac:dyDescent="0.2">
      <c r="A15" s="2">
        <v>12000000000</v>
      </c>
      <c r="B15" s="2">
        <v>20000000000</v>
      </c>
      <c r="C15">
        <v>16</v>
      </c>
    </row>
    <row r="17" spans="1:3" x14ac:dyDescent="0.2">
      <c r="A17" t="s">
        <v>25</v>
      </c>
    </row>
    <row r="18" spans="1:3" x14ac:dyDescent="0.2">
      <c r="A18" s="2">
        <v>0</v>
      </c>
      <c r="B18" s="17">
        <v>350000000</v>
      </c>
      <c r="C18">
        <v>0.5</v>
      </c>
    </row>
    <row r="19" spans="1:3" x14ac:dyDescent="0.2">
      <c r="A19" s="17">
        <v>350000000</v>
      </c>
      <c r="B19" s="17">
        <v>375000000</v>
      </c>
      <c r="C19">
        <f>1/4</f>
        <v>0.25</v>
      </c>
    </row>
    <row r="20" spans="1:3" x14ac:dyDescent="0.2">
      <c r="A20" s="17">
        <v>375000000</v>
      </c>
      <c r="B20" s="17">
        <v>750000000</v>
      </c>
      <c r="C20">
        <v>0.5</v>
      </c>
    </row>
    <row r="21" spans="1:3" x14ac:dyDescent="0.2">
      <c r="A21" s="17">
        <v>750000000</v>
      </c>
      <c r="B21" s="17">
        <v>1500000000</v>
      </c>
      <c r="C21">
        <v>1</v>
      </c>
    </row>
    <row r="22" spans="1:3" x14ac:dyDescent="0.2">
      <c r="A22" s="17">
        <v>1500000000</v>
      </c>
      <c r="B22" s="17">
        <v>3000000000</v>
      </c>
      <c r="C22">
        <v>2</v>
      </c>
    </row>
    <row r="23" spans="1:3" x14ac:dyDescent="0.2">
      <c r="A23" s="17">
        <v>3000000000</v>
      </c>
      <c r="B23" s="17">
        <v>6000000000</v>
      </c>
      <c r="C23">
        <v>4</v>
      </c>
    </row>
    <row r="24" spans="1:3" x14ac:dyDescent="0.2">
      <c r="A24" s="17">
        <v>6000000000</v>
      </c>
      <c r="B24" s="17">
        <v>12000000000</v>
      </c>
      <c r="C24">
        <v>8</v>
      </c>
    </row>
    <row r="25" spans="1:3" x14ac:dyDescent="0.2">
      <c r="A25" s="17">
        <v>12000000000</v>
      </c>
      <c r="B25" s="17">
        <v>20000000000</v>
      </c>
      <c r="C25">
        <v>16</v>
      </c>
    </row>
  </sheetData>
  <sheetProtection password="C469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B2:O32"/>
  <sheetViews>
    <sheetView showGridLines="0" showRowColHeaders="0" zoomScaleNormal="100" workbookViewId="0">
      <selection activeCell="J17" sqref="J17"/>
    </sheetView>
  </sheetViews>
  <sheetFormatPr defaultRowHeight="14.25" x14ac:dyDescent="0.2"/>
  <cols>
    <col min="1" max="1" width="3.140625" style="27" customWidth="1"/>
    <col min="2" max="2" width="21.42578125" style="27" bestFit="1" customWidth="1"/>
    <col min="3" max="3" width="15.140625" style="27" customWidth="1"/>
    <col min="4" max="4" width="63.7109375" style="27" customWidth="1"/>
    <col min="5" max="16384" width="9.140625" style="27"/>
  </cols>
  <sheetData>
    <row r="2" spans="2:15" ht="15" x14ac:dyDescent="0.25">
      <c r="B2" s="34" t="s">
        <v>57</v>
      </c>
      <c r="C2" s="40" t="s">
        <v>60</v>
      </c>
      <c r="D2" s="40"/>
    </row>
    <row r="3" spans="2:15" x14ac:dyDescent="0.2">
      <c r="B3" s="35" t="s">
        <v>58</v>
      </c>
      <c r="C3" s="41" t="s">
        <v>59</v>
      </c>
      <c r="D3" s="41"/>
    </row>
    <row r="4" spans="2:15" ht="28.5" x14ac:dyDescent="0.2">
      <c r="B4" s="36" t="s">
        <v>61</v>
      </c>
      <c r="C4" s="42" t="s">
        <v>62</v>
      </c>
      <c r="D4" s="43"/>
    </row>
    <row r="5" spans="2:15" x14ac:dyDescent="0.2">
      <c r="B5" s="35" t="s">
        <v>63</v>
      </c>
      <c r="C5" s="44" t="s">
        <v>64</v>
      </c>
      <c r="D5" s="45"/>
    </row>
    <row r="7" spans="2:15" x14ac:dyDescent="0.2">
      <c r="B7" s="27" t="s">
        <v>26</v>
      </c>
      <c r="C7" s="27" t="s">
        <v>35</v>
      </c>
      <c r="D7" s="27" t="s">
        <v>27</v>
      </c>
    </row>
    <row r="8" spans="2:15" x14ac:dyDescent="0.2">
      <c r="B8" s="33" t="s">
        <v>16</v>
      </c>
      <c r="D8" s="28" t="s">
        <v>28</v>
      </c>
    </row>
    <row r="9" spans="2:15" x14ac:dyDescent="0.2">
      <c r="D9" s="28"/>
    </row>
    <row r="10" spans="2:15" ht="28.5" x14ac:dyDescent="0.2">
      <c r="B10" s="27" t="s">
        <v>0</v>
      </c>
      <c r="C10" s="27" t="s">
        <v>19</v>
      </c>
      <c r="D10" s="28" t="s">
        <v>29</v>
      </c>
    </row>
    <row r="11" spans="2:15" ht="28.5" x14ac:dyDescent="0.2">
      <c r="B11" s="27" t="s">
        <v>6</v>
      </c>
      <c r="C11" s="27" t="s">
        <v>20</v>
      </c>
      <c r="D11" s="28" t="s">
        <v>30</v>
      </c>
    </row>
    <row r="12" spans="2:15" ht="28.5" x14ac:dyDescent="0.2">
      <c r="B12" s="27" t="s">
        <v>1</v>
      </c>
      <c r="C12" s="27" t="s">
        <v>19</v>
      </c>
      <c r="D12" s="28" t="s">
        <v>31</v>
      </c>
    </row>
    <row r="13" spans="2:15" ht="28.5" x14ac:dyDescent="0.2">
      <c r="B13" s="27" t="s">
        <v>2</v>
      </c>
      <c r="C13" s="27" t="s">
        <v>19</v>
      </c>
      <c r="D13" s="28" t="s">
        <v>32</v>
      </c>
    </row>
    <row r="14" spans="2:15" ht="42.75" x14ac:dyDescent="0.2">
      <c r="B14" s="27" t="s">
        <v>33</v>
      </c>
      <c r="D14" s="28" t="s">
        <v>34</v>
      </c>
      <c r="O14"/>
    </row>
    <row r="15" spans="2:15" ht="28.5" x14ac:dyDescent="0.2">
      <c r="B15" s="27" t="s">
        <v>10</v>
      </c>
      <c r="C15" s="27" t="s">
        <v>21</v>
      </c>
      <c r="D15" s="28" t="s">
        <v>36</v>
      </c>
    </row>
    <row r="16" spans="2:15" ht="28.5" x14ac:dyDescent="0.2">
      <c r="B16" s="27" t="s">
        <v>52</v>
      </c>
      <c r="D16" s="28" t="s">
        <v>53</v>
      </c>
    </row>
    <row r="18" spans="2:4" ht="28.5" x14ac:dyDescent="0.2">
      <c r="B18" s="27" t="s">
        <v>24</v>
      </c>
      <c r="D18" s="28" t="s">
        <v>37</v>
      </c>
    </row>
    <row r="21" spans="2:4" x14ac:dyDescent="0.2">
      <c r="B21" s="27" t="s">
        <v>38</v>
      </c>
      <c r="C21" s="27" t="s">
        <v>47</v>
      </c>
      <c r="D21" s="27" t="s">
        <v>27</v>
      </c>
    </row>
    <row r="22" spans="2:4" ht="28.5" x14ac:dyDescent="0.2">
      <c r="B22" s="27" t="s">
        <v>39</v>
      </c>
      <c r="D22" s="28" t="s">
        <v>40</v>
      </c>
    </row>
    <row r="23" spans="2:4" ht="28.5" x14ac:dyDescent="0.2">
      <c r="B23" s="27" t="s">
        <v>41</v>
      </c>
      <c r="D23" s="28" t="s">
        <v>42</v>
      </c>
    </row>
    <row r="24" spans="2:4" x14ac:dyDescent="0.2">
      <c r="B24" s="27" t="s">
        <v>43</v>
      </c>
      <c r="D24" s="27" t="s">
        <v>44</v>
      </c>
    </row>
    <row r="25" spans="2:4" ht="28.5" x14ac:dyDescent="0.2">
      <c r="B25" s="27" t="s">
        <v>45</v>
      </c>
      <c r="D25" s="28" t="s">
        <v>46</v>
      </c>
    </row>
    <row r="28" spans="2:4" x14ac:dyDescent="0.2">
      <c r="B28" s="27" t="s">
        <v>51</v>
      </c>
      <c r="C28" s="27" t="s">
        <v>47</v>
      </c>
      <c r="D28" s="27" t="s">
        <v>27</v>
      </c>
    </row>
    <row r="29" spans="2:4" ht="45" customHeight="1" x14ac:dyDescent="0.2">
      <c r="B29" s="27" t="s">
        <v>14</v>
      </c>
      <c r="D29" s="28" t="s">
        <v>48</v>
      </c>
    </row>
    <row r="30" spans="2:4" ht="28.5" x14ac:dyDescent="0.2">
      <c r="B30" s="27" t="s">
        <v>15</v>
      </c>
      <c r="D30" s="28" t="s">
        <v>49</v>
      </c>
    </row>
    <row r="31" spans="2:4" x14ac:dyDescent="0.2">
      <c r="B31" s="27" t="s">
        <v>55</v>
      </c>
      <c r="C31" s="27" t="s">
        <v>22</v>
      </c>
      <c r="D31" s="28" t="s">
        <v>56</v>
      </c>
    </row>
    <row r="32" spans="2:4" x14ac:dyDescent="0.2">
      <c r="B32" s="29" t="s">
        <v>50</v>
      </c>
      <c r="C32" s="29" t="s">
        <v>19</v>
      </c>
      <c r="D32" s="28" t="s">
        <v>54</v>
      </c>
    </row>
  </sheetData>
  <sheetProtection password="C469" sheet="1" objects="1" scenarios="1"/>
  <mergeCells count="4">
    <mergeCell ref="C2:D2"/>
    <mergeCell ref="C3:D3"/>
    <mergeCell ref="C4:D4"/>
    <mergeCell ref="C5:D5"/>
  </mergeCell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Tabelle1</vt:lpstr>
      <vt:lpstr>Results</vt:lpstr>
      <vt:lpstr>Data</vt:lpstr>
      <vt:lpstr>Help</vt:lpstr>
    </vt:vector>
  </TitlesOfParts>
  <Company>Rohde &amp; Schwarz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Michael 1EP1</dc:creator>
  <cp:lastModifiedBy>Simon Michael 1EP1</cp:lastModifiedBy>
  <cp:lastPrinted>2019-04-05T12:01:27Z</cp:lastPrinted>
  <dcterms:created xsi:type="dcterms:W3CDTF">2018-02-05T09:51:11Z</dcterms:created>
  <dcterms:modified xsi:type="dcterms:W3CDTF">2019-12-12T13:18:28Z</dcterms:modified>
</cp:coreProperties>
</file>